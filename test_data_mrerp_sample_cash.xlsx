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CA10438C-7B30-4CED-BA07-31586C3BA963}" xr6:coauthVersionLast="47" xr6:coauthVersionMax="47" xr10:uidLastSave="{00000000-0000-0000-0000-000000000000}"/>
  <bookViews>
    <workbookView xWindow="-120" yWindow="-120" windowWidth="38640" windowHeight="15840" xr2:uid="{3BA025B7-2AD7-4E82-A107-6FDCD934D11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E9" i="4"/>
  <c r="E10" i="4" s="1"/>
  <c r="E11" i="4" s="1"/>
  <c r="E12" i="4" s="1"/>
  <c r="E13" i="4" s="1"/>
  <c r="E14" i="4" s="1"/>
  <c r="E15" i="4" s="1"/>
  <c r="H17" i="2"/>
  <c r="H16" i="2"/>
  <c r="H15" i="2"/>
  <c r="H14" i="2"/>
  <c r="H13" i="2"/>
  <c r="H12" i="2"/>
  <c r="H11" i="2"/>
  <c r="H10" i="2"/>
  <c r="H9" i="2"/>
  <c r="H8" i="2"/>
</calcChain>
</file>

<file path=xl/sharedStrings.xml><?xml version="1.0" encoding="utf-8"?>
<sst xmlns="http://schemas.openxmlformats.org/spreadsheetml/2006/main" count="384" uniqueCount="158">
  <si>
    <t>เลขที่</t>
  </si>
  <si>
    <t>วันที่</t>
  </si>
  <si>
    <t>อัตราภาษี</t>
  </si>
  <si>
    <t>สาขา</t>
  </si>
  <si>
    <t>แผนก</t>
  </si>
  <si>
    <t>งาน</t>
  </si>
  <si>
    <t>พนักงานขาย</t>
  </si>
  <si>
    <t>กำหนดส่งสินค้า</t>
  </si>
  <si>
    <t>รหัสลูกค้า</t>
  </si>
  <si>
    <t>รหัสลูกค้า (บิล)</t>
  </si>
  <si>
    <t>เลขที่บิล</t>
  </si>
  <si>
    <t>พื้นทีการขาย</t>
  </si>
  <si>
    <t>ประเภทขนส่ง</t>
  </si>
  <si>
    <t>รหัสสินค้า</t>
  </si>
  <si>
    <t>คลัง</t>
  </si>
  <si>
    <t>จำนวน</t>
  </si>
  <si>
    <t>ราคา/หน่วย</t>
  </si>
  <si>
    <t>จำนวนเงิน</t>
  </si>
  <si>
    <t>หักส่วนลด</t>
  </si>
  <si>
    <t>จำนวนเงินสดรับ</t>
  </si>
  <si>
    <t>หมายเหตุ 1</t>
  </si>
  <si>
    <t>หมายเหตุ 2</t>
  </si>
  <si>
    <t>หมายเหตุ 3</t>
  </si>
  <si>
    <t>รับอื่นๆ 1</t>
  </si>
  <si>
    <t>จำนวนเงินอื่นๆ 1</t>
  </si>
  <si>
    <t>รับอื่นๆ 2</t>
  </si>
  <si>
    <t>จำนวนเงินอื่นๆ 2</t>
  </si>
  <si>
    <t>รับอื่นๆ 3</t>
  </si>
  <si>
    <t>จำนวนเงินอื่นๆ 3</t>
  </si>
  <si>
    <t>เลขที่เงินมัดจำ</t>
  </si>
  <si>
    <t>ออกใบขาย</t>
  </si>
  <si>
    <t>เลขที่เช็ค</t>
  </si>
  <si>
    <t>เช็คลงวันที่</t>
  </si>
  <si>
    <t>ธนาคาร</t>
  </si>
  <si>
    <t>จำนวนตัวอักษรสูงสุด 18 ตัว</t>
  </si>
  <si>
    <t>จำนวนตัวอักษรสูงสุด 15 ตัว</t>
  </si>
  <si>
    <t>จำนวนตัวอักษรสูงสุด 20 ตัว</t>
  </si>
  <si>
    <t>จำนวนตัวอักษรสูงสุด 4 ตัว</t>
  </si>
  <si>
    <t>ค่าของตัวเลขต้องไม่เกิน 999,999,999.99</t>
  </si>
  <si>
    <t>ตัวอักษรอย่างน้อย 2 ตัว</t>
  </si>
  <si>
    <t>ตัวอักษรต้องเท่ากับ 4 ตัว</t>
  </si>
  <si>
    <t>ตัวอักษร ตัวเลข และสัญลักษณ์</t>
  </si>
  <si>
    <t>ตัวเลข</t>
  </si>
  <si>
    <t>รูปแบบเซลล์ ข้อความ</t>
  </si>
  <si>
    <t>รูปแบบเซลล์ ตัวเลข</t>
  </si>
  <si>
    <t>จำนวนตัวอักษรสูงสุด 10 ตัว</t>
  </si>
  <si>
    <t>จำนวนตัวอักษรสูงสุด 5 ตัว</t>
  </si>
  <si>
    <t>จำนวนตัวอักษรสูงสุด 100 ตัว</t>
  </si>
  <si>
    <t>จำนวนตัวอักษรสูงสุด 50 ตัว</t>
  </si>
  <si>
    <t>รูปแบบวันที่ ปีค.ศ.-เดือน-วัน</t>
  </si>
  <si>
    <t>ตัวอักษรต้องเท่ากับ 5 ตัว</t>
  </si>
  <si>
    <t>ตัวเลข และ -</t>
  </si>
  <si>
    <t>รูปแบบเซลล์ วันที่</t>
  </si>
  <si>
    <t>ป้อนหรือไม่ป้อนข้อมูลก็ได้</t>
  </si>
  <si>
    <t>เป็นค่าติดลบหรือไม่ติดลบก็ได้</t>
  </si>
  <si>
    <t>จำนวนตัวอักษรสูงสุด 6 ตัว</t>
  </si>
  <si>
    <t>ตัวอย่างการใส่ข้อมูล</t>
  </si>
  <si>
    <t>100</t>
  </si>
  <si>
    <t>0</t>
  </si>
  <si>
    <t>00000</t>
  </si>
  <si>
    <t>0000</t>
  </si>
  <si>
    <t>0001-0001</t>
  </si>
  <si>
    <t>0001</t>
  </si>
  <si>
    <t>1100</t>
  </si>
  <si>
    <t>ภาคกลาง</t>
  </si>
  <si>
    <t>ขนส่ง 1</t>
  </si>
  <si>
    <t>1110-01</t>
  </si>
  <si>
    <t>2102-01</t>
  </si>
  <si>
    <t>1232-04</t>
  </si>
  <si>
    <t>หมายเหตุ 1_1</t>
  </si>
  <si>
    <t>หมายเหตุ 2_1</t>
  </si>
  <si>
    <t>หมายเหตุ 3_1</t>
  </si>
  <si>
    <t>101</t>
  </si>
  <si>
    <t>7 (แยก)</t>
  </si>
  <si>
    <t>00001</t>
  </si>
  <si>
    <t>d001</t>
  </si>
  <si>
    <t>0001-0002</t>
  </si>
  <si>
    <t>0002</t>
  </si>
  <si>
    <t>0008</t>
  </si>
  <si>
    <t>1101</t>
  </si>
  <si>
    <t>ภาคเหนือ</t>
  </si>
  <si>
    <t>ขนส่ง 2</t>
  </si>
  <si>
    <t>1112-01</t>
  </si>
  <si>
    <t>2202-01</t>
  </si>
  <si>
    <t>1240-01</t>
  </si>
  <si>
    <t>หมายเหตุ 1_2</t>
  </si>
  <si>
    <t>หมายเหตุ 2_2</t>
  </si>
  <si>
    <t>หมายเหตุ 3_2</t>
  </si>
  <si>
    <t>102</t>
  </si>
  <si>
    <t>7 (รวม)</t>
  </si>
  <si>
    <t>00002</t>
  </si>
  <si>
    <t>d002</t>
  </si>
  <si>
    <t>0002-0001</t>
  </si>
  <si>
    <t>0003</t>
  </si>
  <si>
    <t>0007</t>
  </si>
  <si>
    <t>1102</t>
  </si>
  <si>
    <t>ภาคใต้</t>
  </si>
  <si>
    <t>ขนส่ง 3</t>
  </si>
  <si>
    <t>1132-01</t>
  </si>
  <si>
    <t>3101-01</t>
  </si>
  <si>
    <t>5302-03</t>
  </si>
  <si>
    <t>หมายเหตุ 1_3</t>
  </si>
  <si>
    <t>หมายเหตุ 2_3</t>
  </si>
  <si>
    <t>หมายเหตุ 3_3</t>
  </si>
  <si>
    <t>103</t>
  </si>
  <si>
    <t>นอกระบบ</t>
  </si>
  <si>
    <t>00003</t>
  </si>
  <si>
    <t>d003</t>
  </si>
  <si>
    <t>0004</t>
  </si>
  <si>
    <t>0006</t>
  </si>
  <si>
    <t>1103</t>
  </si>
  <si>
    <t>ภาคตะวันออก</t>
  </si>
  <si>
    <t>ขนส่ง 4</t>
  </si>
  <si>
    <t>4101-01</t>
  </si>
  <si>
    <t>4204-01</t>
  </si>
  <si>
    <t>6101-01</t>
  </si>
  <si>
    <t>หมายเหตุ 1_4</t>
  </si>
  <si>
    <t>หมายเหตุ 2_4</t>
  </si>
  <si>
    <t>หมายเหตุ 3_4</t>
  </si>
  <si>
    <t>กรกนก สมบูรณ์</t>
  </si>
  <si>
    <t>นิวัฒน์ ผลบุญ</t>
  </si>
  <si>
    <t>สุชาติ เจริญทรัพย์</t>
  </si>
  <si>
    <t>กิติพัฒน์ กิจเจริญ</t>
  </si>
  <si>
    <t>222_sale</t>
  </si>
  <si>
    <t>d006</t>
  </si>
  <si>
    <t>333_sale</t>
  </si>
  <si>
    <t>d005</t>
  </si>
  <si>
    <t>444_sale</t>
  </si>
  <si>
    <t>d004</t>
  </si>
  <si>
    <t>0005</t>
  </si>
  <si>
    <t>SA001</t>
  </si>
  <si>
    <t>SA003</t>
  </si>
  <si>
    <t>SA005</t>
  </si>
  <si>
    <t>SA004</t>
  </si>
  <si>
    <t>SA002</t>
  </si>
  <si>
    <t>000001</t>
  </si>
  <si>
    <t>000002</t>
  </si>
  <si>
    <t>000003</t>
  </si>
  <si>
    <t>000004</t>
  </si>
  <si>
    <t>a12579</t>
  </si>
  <si>
    <t>a25622</t>
  </si>
  <si>
    <t>b15548</t>
  </si>
  <si>
    <t>b21564</t>
  </si>
  <si>
    <t>b36565</t>
  </si>
  <si>
    <t>c11231</t>
  </si>
  <si>
    <t>c25489</t>
  </si>
  <si>
    <t>d15646</t>
  </si>
  <si>
    <t>111_sale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</si>
  <si>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</si>
  <si>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</si>
  <si>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</si>
  <si>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3. ใส่ข้อมูลตั้งแต่คอลัมภ์ A ถึง H</t>
  </si>
  <si>
    <t>4. ถ้าเลขที่ใน Sheet ที่ 1 และ Sheet ที่ 2 ตรงกัน จะเป็นข้อมูลชุดเดียวกัน</t>
  </si>
  <si>
    <t>3. ใส่ข้อมูลตั้งแต่คอลัมภ์ A ถึง Y</t>
  </si>
  <si>
    <t>3. ใส่ข้อมูลตั้งแต่คอลัมภ์ A ถึง C</t>
  </si>
  <si>
    <t>4. ถ้าเลขที่ใน Sheet ที่ 1 และ Sheet ที่ 3 ตรงกัน จะเป็นข้อมูลชุดเดียวกัน</t>
  </si>
  <si>
    <t>3. ใส่ข้อมูลตั้งแต่คอลัมภ์ A ถึง E</t>
  </si>
  <si>
    <t>4. ถ้าเลขที่ใน Sheet ที่ 1 และ Sheet ที่ 4 ตรงกัน จะเป็นข้อมูลชุดเดียวกัน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</si>
</sst>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187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" fontId="0" fillId="0" borderId="0" xfId="0" applyNumberFormat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BFE-0EA1-4E41-B3DE-D83723F2B0EA}">
  <dimension ref="A1:Y17"/>
  <sheetViews>
    <sheetView tabSelected="1" zoomScaleNormal="100" workbookViewId="0"/>
  </sheetViews>
  <sheetFormatPr defaultColWidth="20.625" defaultRowHeight="14.25" x14ac:dyDescent="0.2"/>
  <cols>
    <col min="1" max="1" width="35.625" style="5" customWidth="1"/>
    <col min="2" max="2" width="35.625" style="3" customWidth="1"/>
    <col min="3" max="7" width="35.625" style="5" customWidth="1"/>
    <col min="8" max="8" width="35.625" style="3" customWidth="1"/>
    <col min="9" max="11" width="35.625" style="5" customWidth="1"/>
    <col min="12" max="12" width="35.625" style="3" customWidth="1"/>
    <col min="13" max="14" width="35.625" style="5" customWidth="1"/>
    <col min="15" max="16" width="35.625" style="6" customWidth="1"/>
    <col min="17" max="17" width="35.625" style="5" customWidth="1"/>
    <col min="18" max="18" width="35.625" style="6" customWidth="1"/>
    <col min="19" max="19" width="35.625" style="5" customWidth="1"/>
    <col min="20" max="20" width="35.625" style="6" customWidth="1"/>
    <col min="21" max="21" width="35.625" style="5" customWidth="1"/>
    <col min="22" max="22" width="35.625" style="6" customWidth="1"/>
    <col min="23" max="25" width="35.625" style="5" customWidth="1"/>
  </cols>
  <sheetData>
    <row r="1" spans="1:25" s="1" customFormat="1" x14ac:dyDescent="0.2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</v>
      </c>
      <c r="M1" s="4" t="s">
        <v>11</v>
      </c>
      <c r="N1" s="4" t="s">
        <v>12</v>
      </c>
      <c r="O1" s="7" t="s">
        <v>18</v>
      </c>
      <c r="P1" s="7" t="s">
        <v>19</v>
      </c>
      <c r="Q1" s="4" t="s">
        <v>23</v>
      </c>
      <c r="R1" s="7" t="s">
        <v>24</v>
      </c>
      <c r="S1" s="4" t="s">
        <v>25</v>
      </c>
      <c r="T1" s="7" t="s">
        <v>26</v>
      </c>
      <c r="U1" s="4" t="s">
        <v>27</v>
      </c>
      <c r="V1" s="7" t="s">
        <v>28</v>
      </c>
      <c r="W1" s="4" t="s">
        <v>20</v>
      </c>
      <c r="X1" s="4" t="s">
        <v>21</v>
      </c>
      <c r="Y1" s="4" t="s">
        <v>22</v>
      </c>
    </row>
    <row r="2" spans="1:25" x14ac:dyDescent="0.2">
      <c r="A2" s="8" t="s">
        <v>34</v>
      </c>
      <c r="B2" s="9" t="s">
        <v>45</v>
      </c>
      <c r="C2" s="8" t="s">
        <v>36</v>
      </c>
      <c r="D2" s="8" t="s">
        <v>46</v>
      </c>
      <c r="E2" s="8" t="s">
        <v>36</v>
      </c>
      <c r="F2" s="8" t="s">
        <v>36</v>
      </c>
      <c r="G2" s="8" t="s">
        <v>47</v>
      </c>
      <c r="H2" s="9" t="s">
        <v>45</v>
      </c>
      <c r="I2" s="8" t="s">
        <v>36</v>
      </c>
      <c r="J2" s="8" t="s">
        <v>36</v>
      </c>
      <c r="K2" s="8" t="s">
        <v>36</v>
      </c>
      <c r="L2" s="9" t="s">
        <v>45</v>
      </c>
      <c r="M2" s="8" t="s">
        <v>48</v>
      </c>
      <c r="N2" s="8" t="s">
        <v>48</v>
      </c>
      <c r="O2" s="10" t="s">
        <v>38</v>
      </c>
      <c r="P2" s="10" t="s">
        <v>38</v>
      </c>
      <c r="Q2" s="8" t="s">
        <v>35</v>
      </c>
      <c r="R2" s="10" t="s">
        <v>38</v>
      </c>
      <c r="S2" s="8" t="s">
        <v>35</v>
      </c>
      <c r="T2" s="10" t="s">
        <v>38</v>
      </c>
      <c r="U2" s="8" t="s">
        <v>35</v>
      </c>
      <c r="V2" s="10" t="s">
        <v>38</v>
      </c>
      <c r="W2" s="8" t="s">
        <v>48</v>
      </c>
      <c r="X2" s="8" t="s">
        <v>48</v>
      </c>
      <c r="Y2" s="8" t="s">
        <v>48</v>
      </c>
    </row>
    <row r="3" spans="1:25" x14ac:dyDescent="0.2">
      <c r="A3" s="8"/>
      <c r="B3" s="9" t="s">
        <v>49</v>
      </c>
      <c r="C3" s="8"/>
      <c r="D3" s="8" t="s">
        <v>50</v>
      </c>
      <c r="E3" s="8" t="s">
        <v>39</v>
      </c>
      <c r="F3" s="8" t="s">
        <v>39</v>
      </c>
      <c r="G3" s="8"/>
      <c r="H3" s="9" t="s">
        <v>49</v>
      </c>
      <c r="I3" s="8" t="s">
        <v>39</v>
      </c>
      <c r="J3" s="8" t="s">
        <v>39</v>
      </c>
      <c r="K3" s="8"/>
      <c r="L3" s="9" t="s">
        <v>49</v>
      </c>
      <c r="M3" s="8"/>
      <c r="N3" s="8"/>
      <c r="O3" s="10"/>
      <c r="P3" s="10"/>
      <c r="Q3" s="8" t="s">
        <v>39</v>
      </c>
      <c r="R3" s="10" t="s">
        <v>54</v>
      </c>
      <c r="S3" s="8" t="s">
        <v>39</v>
      </c>
      <c r="T3" s="10" t="s">
        <v>54</v>
      </c>
      <c r="U3" s="8" t="s">
        <v>39</v>
      </c>
      <c r="V3" s="10" t="s">
        <v>54</v>
      </c>
      <c r="W3" s="8" t="s">
        <v>53</v>
      </c>
      <c r="X3" s="8" t="s">
        <v>53</v>
      </c>
      <c r="Y3" s="8" t="s">
        <v>53</v>
      </c>
    </row>
    <row r="4" spans="1:25" x14ac:dyDescent="0.2">
      <c r="A4" s="8" t="s">
        <v>41</v>
      </c>
      <c r="B4" s="9" t="s">
        <v>51</v>
      </c>
      <c r="C4" s="8" t="s">
        <v>41</v>
      </c>
      <c r="D4" s="8" t="s">
        <v>41</v>
      </c>
      <c r="E4" s="8" t="s">
        <v>41</v>
      </c>
      <c r="F4" s="8" t="s">
        <v>41</v>
      </c>
      <c r="G4" s="8" t="s">
        <v>41</v>
      </c>
      <c r="H4" s="9" t="s">
        <v>51</v>
      </c>
      <c r="I4" s="8" t="s">
        <v>41</v>
      </c>
      <c r="J4" s="8" t="s">
        <v>41</v>
      </c>
      <c r="K4" s="8" t="s">
        <v>41</v>
      </c>
      <c r="L4" s="9" t="s">
        <v>51</v>
      </c>
      <c r="M4" s="8" t="s">
        <v>41</v>
      </c>
      <c r="N4" s="8" t="s">
        <v>41</v>
      </c>
      <c r="O4" s="10" t="s">
        <v>42</v>
      </c>
      <c r="P4" s="10" t="s">
        <v>42</v>
      </c>
      <c r="Q4" s="8" t="s">
        <v>41</v>
      </c>
      <c r="R4" s="10" t="s">
        <v>42</v>
      </c>
      <c r="S4" s="8" t="s">
        <v>41</v>
      </c>
      <c r="T4" s="10" t="s">
        <v>42</v>
      </c>
      <c r="U4" s="8" t="s">
        <v>41</v>
      </c>
      <c r="V4" s="10" t="s">
        <v>42</v>
      </c>
      <c r="W4" s="8" t="s">
        <v>41</v>
      </c>
      <c r="X4" s="8" t="s">
        <v>41</v>
      </c>
      <c r="Y4" s="8" t="s">
        <v>41</v>
      </c>
    </row>
    <row r="5" spans="1:25" x14ac:dyDescent="0.2">
      <c r="A5" s="8" t="s">
        <v>43</v>
      </c>
      <c r="B5" s="9" t="s">
        <v>52</v>
      </c>
      <c r="C5" s="8" t="s">
        <v>43</v>
      </c>
      <c r="D5" s="8" t="s">
        <v>43</v>
      </c>
      <c r="E5" s="8" t="s">
        <v>43</v>
      </c>
      <c r="F5" s="8" t="s">
        <v>43</v>
      </c>
      <c r="G5" s="8" t="s">
        <v>43</v>
      </c>
      <c r="H5" s="9" t="s">
        <v>52</v>
      </c>
      <c r="I5" s="8" t="s">
        <v>43</v>
      </c>
      <c r="J5" s="8" t="s">
        <v>43</v>
      </c>
      <c r="K5" s="8" t="s">
        <v>43</v>
      </c>
      <c r="L5" s="9" t="s">
        <v>52</v>
      </c>
      <c r="M5" s="8" t="s">
        <v>43</v>
      </c>
      <c r="N5" s="8" t="s">
        <v>43</v>
      </c>
      <c r="O5" s="10" t="s">
        <v>44</v>
      </c>
      <c r="P5" s="10" t="s">
        <v>44</v>
      </c>
      <c r="Q5" s="8" t="s">
        <v>43</v>
      </c>
      <c r="R5" s="10" t="s">
        <v>44</v>
      </c>
      <c r="S5" s="8" t="s">
        <v>43</v>
      </c>
      <c r="T5" s="10" t="s">
        <v>44</v>
      </c>
      <c r="U5" s="8" t="s">
        <v>43</v>
      </c>
      <c r="V5" s="10" t="s">
        <v>44</v>
      </c>
      <c r="W5" s="8" t="s">
        <v>43</v>
      </c>
      <c r="X5" s="8" t="s">
        <v>43</v>
      </c>
      <c r="Y5" s="8" t="s">
        <v>43</v>
      </c>
    </row>
    <row r="7" spans="1:25" x14ac:dyDescent="0.2">
      <c r="A7" s="11" t="s">
        <v>56</v>
      </c>
    </row>
    <row r="8" spans="1:25" x14ac:dyDescent="0.2">
      <c r="A8" s="5" t="s">
        <v>57</v>
      </c>
      <c r="B8" s="3">
        <v>44348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119</v>
      </c>
      <c r="H8" s="3">
        <v>44228</v>
      </c>
      <c r="I8" s="5" t="s">
        <v>62</v>
      </c>
      <c r="J8" s="5" t="s">
        <v>62</v>
      </c>
      <c r="K8" s="5" t="s">
        <v>63</v>
      </c>
      <c r="L8" s="3">
        <v>44256</v>
      </c>
      <c r="M8" s="5" t="s">
        <v>64</v>
      </c>
      <c r="N8" s="5" t="s">
        <v>65</v>
      </c>
      <c r="O8" s="12">
        <v>1000.11</v>
      </c>
      <c r="P8" s="6">
        <v>34209</v>
      </c>
      <c r="Q8" s="5" t="s">
        <v>66</v>
      </c>
      <c r="R8" s="6">
        <v>5000.1099999999997</v>
      </c>
      <c r="S8" s="5" t="s">
        <v>67</v>
      </c>
      <c r="T8" s="6">
        <v>6000.11</v>
      </c>
      <c r="U8" s="5" t="s">
        <v>68</v>
      </c>
      <c r="V8" s="6">
        <v>7000.11</v>
      </c>
      <c r="W8" s="5" t="s">
        <v>69</v>
      </c>
      <c r="X8" s="5" t="s">
        <v>70</v>
      </c>
      <c r="Y8" s="5" t="s">
        <v>71</v>
      </c>
    </row>
    <row r="9" spans="1:25" x14ac:dyDescent="0.2">
      <c r="A9" s="5" t="s">
        <v>72</v>
      </c>
      <c r="B9" s="3">
        <v>44320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120</v>
      </c>
      <c r="H9" s="3">
        <v>44229</v>
      </c>
      <c r="I9" s="5" t="s">
        <v>77</v>
      </c>
      <c r="J9" s="5" t="s">
        <v>78</v>
      </c>
      <c r="K9" s="5" t="s">
        <v>79</v>
      </c>
      <c r="L9" s="3">
        <v>44257</v>
      </c>
      <c r="M9" s="5" t="s">
        <v>80</v>
      </c>
      <c r="N9" s="5" t="s">
        <v>81</v>
      </c>
      <c r="O9" s="12">
        <v>1010.11</v>
      </c>
      <c r="P9" s="6">
        <v>10000.11</v>
      </c>
      <c r="Q9" s="5" t="s">
        <v>82</v>
      </c>
      <c r="R9" s="6">
        <v>-3800.11</v>
      </c>
      <c r="S9" s="5" t="s">
        <v>83</v>
      </c>
      <c r="T9" s="6">
        <v>-2332.4699999999998</v>
      </c>
      <c r="U9" s="5" t="s">
        <v>84</v>
      </c>
      <c r="V9" s="6">
        <v>-4000.33</v>
      </c>
      <c r="W9" s="5" t="s">
        <v>85</v>
      </c>
      <c r="X9" s="5" t="s">
        <v>86</v>
      </c>
      <c r="Y9" s="5" t="s">
        <v>87</v>
      </c>
    </row>
    <row r="10" spans="1:25" x14ac:dyDescent="0.2">
      <c r="A10" s="5" t="s">
        <v>88</v>
      </c>
      <c r="B10" s="3">
        <v>44350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121</v>
      </c>
      <c r="H10" s="3">
        <v>44230</v>
      </c>
      <c r="I10" s="5" t="s">
        <v>93</v>
      </c>
      <c r="J10" s="5" t="s">
        <v>94</v>
      </c>
      <c r="K10" s="5" t="s">
        <v>95</v>
      </c>
      <c r="L10" s="3">
        <v>44258</v>
      </c>
      <c r="M10" s="5" t="s">
        <v>96</v>
      </c>
      <c r="N10" s="5" t="s">
        <v>97</v>
      </c>
      <c r="O10" s="12">
        <v>1020.11</v>
      </c>
      <c r="P10" s="6">
        <v>7687.32</v>
      </c>
      <c r="Q10" s="5" t="s">
        <v>98</v>
      </c>
      <c r="R10" s="6">
        <v>1200.1099999999999</v>
      </c>
      <c r="S10" s="5" t="s">
        <v>99</v>
      </c>
      <c r="T10" s="6">
        <v>-1300.1099999999999</v>
      </c>
      <c r="U10" s="5" t="s">
        <v>100</v>
      </c>
      <c r="V10" s="6">
        <v>1400.11</v>
      </c>
      <c r="W10" s="5" t="s">
        <v>101</v>
      </c>
      <c r="X10" s="5" t="s">
        <v>102</v>
      </c>
      <c r="Y10" s="5" t="s">
        <v>103</v>
      </c>
    </row>
    <row r="11" spans="1:25" x14ac:dyDescent="0.2">
      <c r="A11" s="5" t="s">
        <v>104</v>
      </c>
      <c r="B11" s="3">
        <v>44351</v>
      </c>
      <c r="C11" s="5" t="s">
        <v>105</v>
      </c>
      <c r="D11" s="5" t="s">
        <v>106</v>
      </c>
      <c r="E11" s="5" t="s">
        <v>107</v>
      </c>
      <c r="F11" s="5" t="s">
        <v>61</v>
      </c>
      <c r="G11" s="5" t="s">
        <v>122</v>
      </c>
      <c r="H11" s="3">
        <v>44231</v>
      </c>
      <c r="I11" s="5" t="s">
        <v>108</v>
      </c>
      <c r="J11" s="5" t="s">
        <v>109</v>
      </c>
      <c r="K11" s="5" t="s">
        <v>110</v>
      </c>
      <c r="L11" s="3">
        <v>44259</v>
      </c>
      <c r="M11" s="5" t="s">
        <v>111</v>
      </c>
      <c r="N11" s="5" t="s">
        <v>112</v>
      </c>
      <c r="O11" s="12">
        <v>1030.1099999999999</v>
      </c>
      <c r="P11" s="6">
        <v>22467.16</v>
      </c>
      <c r="Q11" s="5" t="s">
        <v>113</v>
      </c>
      <c r="R11" s="6">
        <v>5300.11</v>
      </c>
      <c r="S11" s="5" t="s">
        <v>114</v>
      </c>
      <c r="T11" s="6">
        <v>6300.11</v>
      </c>
      <c r="U11" s="5" t="s">
        <v>115</v>
      </c>
      <c r="V11" s="6">
        <v>7300.11</v>
      </c>
      <c r="W11" s="5" t="s">
        <v>116</v>
      </c>
      <c r="X11" s="5" t="s">
        <v>117</v>
      </c>
      <c r="Y11" s="5" t="s">
        <v>118</v>
      </c>
    </row>
    <row r="13" spans="1:25" x14ac:dyDescent="0.2">
      <c r="A13" s="13" t="s">
        <v>148</v>
      </c>
    </row>
    <row r="14" spans="1:25" x14ac:dyDescent="0.2">
      <c r="A14" t="s">
        <v>149</v>
      </c>
    </row>
    <row r="15" spans="1:25" x14ac:dyDescent="0.2">
      <c r="A15" t="s">
        <v>150</v>
      </c>
    </row>
    <row r="16" spans="1:25" x14ac:dyDescent="0.2">
      <c r="A16" s="14" t="s">
        <v>153</v>
      </c>
    </row>
    <row r="17" spans="1:1" x14ac:dyDescent="0.2">
      <c r="A17" s="5" t="s">
        <v>152</v>
      </c>
    </row>
  </sheetData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4C3-EA7D-4D9B-8096-902378BC7675}">
  <dimension ref="A1:H27"/>
  <sheetViews>
    <sheetView workbookViewId="0"/>
  </sheetViews>
  <sheetFormatPr defaultColWidth="20.625" defaultRowHeight="14.25" x14ac:dyDescent="0.2"/>
  <cols>
    <col min="1" max="5" width="35.625" style="5" customWidth="1"/>
    <col min="6" max="8" width="35.625" style="6" customWidth="1"/>
  </cols>
  <sheetData>
    <row r="1" spans="1:8" s="1" customFormat="1" x14ac:dyDescent="0.2">
      <c r="A1" s="4" t="s">
        <v>0</v>
      </c>
      <c r="B1" s="4" t="s">
        <v>13</v>
      </c>
      <c r="C1" s="4" t="s">
        <v>4</v>
      </c>
      <c r="D1" s="4" t="s">
        <v>5</v>
      </c>
      <c r="E1" s="4" t="s">
        <v>14</v>
      </c>
      <c r="F1" s="7" t="s">
        <v>15</v>
      </c>
      <c r="G1" s="7" t="s">
        <v>16</v>
      </c>
      <c r="H1" s="7" t="s">
        <v>17</v>
      </c>
    </row>
    <row r="2" spans="1:8" x14ac:dyDescent="0.2">
      <c r="A2" s="8" t="s">
        <v>34</v>
      </c>
      <c r="B2" s="8" t="s">
        <v>35</v>
      </c>
      <c r="C2" s="8" t="s">
        <v>36</v>
      </c>
      <c r="D2" s="8" t="s">
        <v>36</v>
      </c>
      <c r="E2" s="9" t="s">
        <v>37</v>
      </c>
      <c r="F2" s="10" t="s">
        <v>38</v>
      </c>
      <c r="G2" s="10" t="s">
        <v>38</v>
      </c>
      <c r="H2" s="10" t="s">
        <v>38</v>
      </c>
    </row>
    <row r="3" spans="1:8" x14ac:dyDescent="0.2">
      <c r="A3" s="8"/>
      <c r="B3" s="8" t="s">
        <v>39</v>
      </c>
      <c r="C3" s="8" t="s">
        <v>39</v>
      </c>
      <c r="D3" s="8" t="s">
        <v>39</v>
      </c>
      <c r="E3" s="8" t="s">
        <v>40</v>
      </c>
      <c r="F3" s="10"/>
      <c r="G3" s="10"/>
      <c r="H3" s="10"/>
    </row>
    <row r="4" spans="1:8" x14ac:dyDescent="0.2">
      <c r="A4" s="8" t="s">
        <v>41</v>
      </c>
      <c r="B4" s="8" t="s">
        <v>41</v>
      </c>
      <c r="C4" s="8" t="s">
        <v>41</v>
      </c>
      <c r="D4" s="8" t="s">
        <v>41</v>
      </c>
      <c r="E4" s="8" t="s">
        <v>41</v>
      </c>
      <c r="F4" s="10" t="s">
        <v>42</v>
      </c>
      <c r="G4" s="10" t="s">
        <v>42</v>
      </c>
      <c r="H4" s="10" t="s">
        <v>42</v>
      </c>
    </row>
    <row r="5" spans="1:8" x14ac:dyDescent="0.2">
      <c r="A5" s="8" t="s">
        <v>43</v>
      </c>
      <c r="B5" s="8" t="s">
        <v>43</v>
      </c>
      <c r="C5" s="8" t="s">
        <v>43</v>
      </c>
      <c r="D5" s="8" t="s">
        <v>43</v>
      </c>
      <c r="E5" s="8" t="s">
        <v>43</v>
      </c>
      <c r="F5" s="10" t="s">
        <v>44</v>
      </c>
      <c r="G5" s="10" t="s">
        <v>44</v>
      </c>
      <c r="H5" s="10" t="s">
        <v>44</v>
      </c>
    </row>
    <row r="7" spans="1:8" x14ac:dyDescent="0.2">
      <c r="A7" s="11" t="s">
        <v>56</v>
      </c>
    </row>
    <row r="8" spans="1:8" x14ac:dyDescent="0.2">
      <c r="A8" s="5" t="s">
        <v>57</v>
      </c>
      <c r="B8" s="5" t="s">
        <v>123</v>
      </c>
      <c r="C8" s="5" t="s">
        <v>124</v>
      </c>
      <c r="D8" s="5" t="s">
        <v>92</v>
      </c>
      <c r="E8" s="5" t="s">
        <v>77</v>
      </c>
      <c r="F8" s="6">
        <v>100.02</v>
      </c>
      <c r="G8" s="6">
        <v>111.02</v>
      </c>
      <c r="H8" s="6">
        <f t="shared" ref="H8:H21" si="0">F8*G8</f>
        <v>11104.220399999998</v>
      </c>
    </row>
    <row r="9" spans="1:8" x14ac:dyDescent="0.2">
      <c r="A9" s="5" t="s">
        <v>57</v>
      </c>
      <c r="B9" s="5" t="s">
        <v>125</v>
      </c>
      <c r="C9" s="5" t="s">
        <v>126</v>
      </c>
      <c r="D9" s="5" t="s">
        <v>76</v>
      </c>
      <c r="E9" s="5" t="s">
        <v>93</v>
      </c>
      <c r="F9" s="6">
        <v>100.03</v>
      </c>
      <c r="G9" s="6">
        <v>111.03</v>
      </c>
      <c r="H9" s="6">
        <f t="shared" si="0"/>
        <v>11106.330900000001</v>
      </c>
    </row>
    <row r="10" spans="1:8" x14ac:dyDescent="0.2">
      <c r="A10" s="5" t="s">
        <v>57</v>
      </c>
      <c r="B10" s="5" t="s">
        <v>127</v>
      </c>
      <c r="C10" s="5" t="s">
        <v>128</v>
      </c>
      <c r="D10" s="5" t="s">
        <v>61</v>
      </c>
      <c r="E10" s="5" t="s">
        <v>108</v>
      </c>
      <c r="F10" s="6">
        <v>100.04</v>
      </c>
      <c r="G10" s="6">
        <v>111.04</v>
      </c>
      <c r="H10" s="6">
        <f t="shared" si="0"/>
        <v>11108.441600000002</v>
      </c>
    </row>
    <row r="11" spans="1:8" x14ac:dyDescent="0.2">
      <c r="A11" s="5" t="s">
        <v>72</v>
      </c>
      <c r="B11" s="5" t="s">
        <v>123</v>
      </c>
      <c r="C11" s="5" t="s">
        <v>91</v>
      </c>
      <c r="D11" s="5" t="s">
        <v>92</v>
      </c>
      <c r="E11" s="5" t="s">
        <v>62</v>
      </c>
      <c r="F11" s="6">
        <v>100.06</v>
      </c>
      <c r="G11" s="6">
        <v>111.06</v>
      </c>
      <c r="H11" s="6">
        <f t="shared" si="0"/>
        <v>11112.6636</v>
      </c>
    </row>
    <row r="12" spans="1:8" x14ac:dyDescent="0.2">
      <c r="A12" s="5" t="s">
        <v>72</v>
      </c>
      <c r="B12" s="5" t="s">
        <v>125</v>
      </c>
      <c r="C12" s="5" t="s">
        <v>75</v>
      </c>
      <c r="D12" s="5" t="s">
        <v>76</v>
      </c>
      <c r="E12" s="5" t="s">
        <v>77</v>
      </c>
      <c r="F12" s="6">
        <v>100.07</v>
      </c>
      <c r="G12" s="6">
        <v>111.07</v>
      </c>
      <c r="H12" s="6">
        <f t="shared" si="0"/>
        <v>11114.774899999999</v>
      </c>
    </row>
    <row r="13" spans="1:8" x14ac:dyDescent="0.2">
      <c r="A13" s="5" t="s">
        <v>72</v>
      </c>
      <c r="B13" s="5" t="s">
        <v>127</v>
      </c>
      <c r="C13" s="5" t="s">
        <v>60</v>
      </c>
      <c r="D13" s="5" t="s">
        <v>61</v>
      </c>
      <c r="E13" s="5" t="s">
        <v>93</v>
      </c>
      <c r="F13" s="6">
        <v>100.08</v>
      </c>
      <c r="G13" s="6">
        <v>111.08</v>
      </c>
      <c r="H13" s="6">
        <f t="shared" si="0"/>
        <v>11116.886399999999</v>
      </c>
    </row>
    <row r="14" spans="1:8" x14ac:dyDescent="0.2">
      <c r="A14" s="5" t="s">
        <v>88</v>
      </c>
      <c r="B14" s="5" t="s">
        <v>123</v>
      </c>
      <c r="C14" s="5" t="s">
        <v>124</v>
      </c>
      <c r="D14" s="5" t="s">
        <v>92</v>
      </c>
      <c r="E14" s="5" t="s">
        <v>129</v>
      </c>
      <c r="F14" s="6">
        <v>100.1</v>
      </c>
      <c r="G14" s="6">
        <v>111.1</v>
      </c>
      <c r="H14" s="6">
        <f t="shared" si="0"/>
        <v>11121.109999999999</v>
      </c>
    </row>
    <row r="15" spans="1:8" x14ac:dyDescent="0.2">
      <c r="A15" s="5" t="s">
        <v>88</v>
      </c>
      <c r="B15" s="5" t="s">
        <v>125</v>
      </c>
      <c r="C15" s="5" t="s">
        <v>126</v>
      </c>
      <c r="D15" s="5" t="s">
        <v>76</v>
      </c>
      <c r="E15" s="5" t="s">
        <v>62</v>
      </c>
      <c r="F15" s="6">
        <v>100.11</v>
      </c>
      <c r="G15" s="6">
        <v>111.11</v>
      </c>
      <c r="H15" s="6">
        <f t="shared" si="0"/>
        <v>11123.222099999999</v>
      </c>
    </row>
    <row r="16" spans="1:8" x14ac:dyDescent="0.2">
      <c r="A16" s="5" t="s">
        <v>88</v>
      </c>
      <c r="B16" s="5" t="s">
        <v>127</v>
      </c>
      <c r="C16" s="5" t="s">
        <v>128</v>
      </c>
      <c r="D16" s="5" t="s">
        <v>61</v>
      </c>
      <c r="E16" s="5" t="s">
        <v>77</v>
      </c>
      <c r="F16" s="6">
        <v>100.12</v>
      </c>
      <c r="G16" s="6">
        <v>111.12</v>
      </c>
      <c r="H16" s="6">
        <f t="shared" si="0"/>
        <v>11125.334400000002</v>
      </c>
    </row>
    <row r="17" spans="1:8" x14ac:dyDescent="0.2">
      <c r="A17" s="5" t="s">
        <v>88</v>
      </c>
      <c r="B17" s="5" t="s">
        <v>123</v>
      </c>
      <c r="C17" s="5" t="s">
        <v>91</v>
      </c>
      <c r="D17" s="5" t="s">
        <v>92</v>
      </c>
      <c r="E17" s="5" t="s">
        <v>108</v>
      </c>
      <c r="F17" s="6">
        <v>100.14</v>
      </c>
      <c r="G17" s="6">
        <v>111.14</v>
      </c>
      <c r="H17" s="6">
        <f t="shared" si="0"/>
        <v>11129.559600000001</v>
      </c>
    </row>
    <row r="18" spans="1:8" x14ac:dyDescent="0.2">
      <c r="A18" s="5" t="s">
        <v>104</v>
      </c>
      <c r="B18" s="5" t="s">
        <v>125</v>
      </c>
      <c r="C18" s="5" t="s">
        <v>75</v>
      </c>
      <c r="D18" s="5" t="s">
        <v>76</v>
      </c>
      <c r="E18" s="5" t="s">
        <v>129</v>
      </c>
      <c r="F18" s="6">
        <v>100.15</v>
      </c>
      <c r="G18" s="6">
        <v>111.15</v>
      </c>
      <c r="H18" s="6">
        <f t="shared" si="0"/>
        <v>11131.672500000001</v>
      </c>
    </row>
    <row r="19" spans="1:8" x14ac:dyDescent="0.2">
      <c r="A19" s="5" t="s">
        <v>104</v>
      </c>
      <c r="B19" s="5" t="s">
        <v>127</v>
      </c>
      <c r="C19" s="5" t="s">
        <v>60</v>
      </c>
      <c r="D19" s="5" t="s">
        <v>61</v>
      </c>
      <c r="E19" s="5" t="s">
        <v>62</v>
      </c>
      <c r="F19" s="6">
        <v>100.16</v>
      </c>
      <c r="G19" s="6">
        <v>111.16</v>
      </c>
      <c r="H19" s="6">
        <f t="shared" si="0"/>
        <v>11133.785599999999</v>
      </c>
    </row>
    <row r="20" spans="1:8" x14ac:dyDescent="0.2">
      <c r="A20" s="5" t="s">
        <v>104</v>
      </c>
      <c r="B20" s="5" t="s">
        <v>147</v>
      </c>
      <c r="C20" s="5" t="s">
        <v>75</v>
      </c>
      <c r="D20" s="5" t="s">
        <v>76</v>
      </c>
      <c r="E20" s="5" t="s">
        <v>77</v>
      </c>
      <c r="F20" s="6">
        <v>100.17</v>
      </c>
      <c r="G20" s="6">
        <v>111.17</v>
      </c>
      <c r="H20" s="6">
        <f t="shared" si="0"/>
        <v>11135.8989</v>
      </c>
    </row>
    <row r="21" spans="1:8" x14ac:dyDescent="0.2">
      <c r="A21" s="5" t="s">
        <v>104</v>
      </c>
      <c r="B21" s="5" t="s">
        <v>123</v>
      </c>
      <c r="C21" s="5" t="s">
        <v>124</v>
      </c>
      <c r="D21" s="5" t="s">
        <v>92</v>
      </c>
      <c r="E21" s="5" t="s">
        <v>93</v>
      </c>
      <c r="F21" s="6">
        <v>100.18</v>
      </c>
      <c r="G21" s="6">
        <v>111.18</v>
      </c>
      <c r="H21" s="6">
        <f t="shared" si="0"/>
        <v>11138.012400000001</v>
      </c>
    </row>
    <row r="23" spans="1:8" x14ac:dyDescent="0.2">
      <c r="A23" s="13" t="s">
        <v>148</v>
      </c>
    </row>
    <row r="24" spans="1:8" x14ac:dyDescent="0.2">
      <c r="A24" t="s">
        <v>149</v>
      </c>
    </row>
    <row r="25" spans="1:8" x14ac:dyDescent="0.2">
      <c r="A25" t="s">
        <v>150</v>
      </c>
    </row>
    <row r="26" spans="1:8" x14ac:dyDescent="0.2">
      <c r="A26" s="14" t="s">
        <v>151</v>
      </c>
    </row>
    <row r="27" spans="1:8" x14ac:dyDescent="0.2">
      <c r="A27" s="5" t="s">
        <v>152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A0BA-F7AD-4C07-9550-5DD1990BDB87}">
  <dimension ref="A1:C18"/>
  <sheetViews>
    <sheetView workbookViewId="0"/>
  </sheetViews>
  <sheetFormatPr defaultRowHeight="14.25" x14ac:dyDescent="0.2"/>
  <cols>
    <col min="1" max="2" width="35.625" style="5" customWidth="1"/>
    <col min="3" max="3" width="35.625" style="6" customWidth="1"/>
  </cols>
  <sheetData>
    <row r="1" spans="1:3" s="1" customFormat="1" x14ac:dyDescent="0.2">
      <c r="A1" s="4" t="s">
        <v>0</v>
      </c>
      <c r="B1" s="4" t="s">
        <v>29</v>
      </c>
      <c r="C1" s="7" t="s">
        <v>30</v>
      </c>
    </row>
    <row r="2" spans="1:3" x14ac:dyDescent="0.2">
      <c r="A2" s="8" t="s">
        <v>34</v>
      </c>
      <c r="B2" s="8" t="s">
        <v>34</v>
      </c>
      <c r="C2" s="10" t="s">
        <v>38</v>
      </c>
    </row>
    <row r="3" spans="1:3" x14ac:dyDescent="0.2">
      <c r="A3" s="8"/>
      <c r="B3" s="8"/>
      <c r="C3" s="10"/>
    </row>
    <row r="4" spans="1:3" x14ac:dyDescent="0.2">
      <c r="A4" s="8" t="s">
        <v>41</v>
      </c>
      <c r="B4" s="8" t="s">
        <v>41</v>
      </c>
      <c r="C4" s="10" t="s">
        <v>42</v>
      </c>
    </row>
    <row r="5" spans="1:3" x14ac:dyDescent="0.2">
      <c r="A5" s="8" t="s">
        <v>43</v>
      </c>
      <c r="B5" s="8" t="s">
        <v>43</v>
      </c>
      <c r="C5" s="10" t="s">
        <v>44</v>
      </c>
    </row>
    <row r="7" spans="1:3" x14ac:dyDescent="0.2">
      <c r="A7" s="11" t="s">
        <v>56</v>
      </c>
    </row>
    <row r="8" spans="1:3" x14ac:dyDescent="0.2">
      <c r="A8" s="5" t="s">
        <v>72</v>
      </c>
      <c r="B8" s="5" t="s">
        <v>130</v>
      </c>
      <c r="C8" s="6">
        <v>100.22</v>
      </c>
    </row>
    <row r="9" spans="1:3" x14ac:dyDescent="0.2">
      <c r="A9" s="5" t="s">
        <v>72</v>
      </c>
      <c r="B9" s="5" t="s">
        <v>131</v>
      </c>
      <c r="C9" s="6">
        <v>200.22</v>
      </c>
    </row>
    <row r="10" spans="1:3" x14ac:dyDescent="0.2">
      <c r="A10" s="5" t="s">
        <v>104</v>
      </c>
      <c r="B10" s="5" t="s">
        <v>132</v>
      </c>
      <c r="C10" s="6">
        <v>100.11</v>
      </c>
    </row>
    <row r="11" spans="1:3" x14ac:dyDescent="0.2">
      <c r="A11" s="5" t="s">
        <v>104</v>
      </c>
      <c r="B11" s="5" t="s">
        <v>133</v>
      </c>
      <c r="C11" s="6">
        <v>110.22</v>
      </c>
    </row>
    <row r="12" spans="1:3" x14ac:dyDescent="0.2">
      <c r="A12" s="5" t="s">
        <v>104</v>
      </c>
      <c r="B12" s="5" t="s">
        <v>134</v>
      </c>
      <c r="C12" s="6">
        <v>120.33</v>
      </c>
    </row>
    <row r="14" spans="1:3" x14ac:dyDescent="0.2">
      <c r="A14" s="13" t="s">
        <v>148</v>
      </c>
    </row>
    <row r="15" spans="1:3" x14ac:dyDescent="0.2">
      <c r="A15" t="s">
        <v>149</v>
      </c>
    </row>
    <row r="16" spans="1:3" x14ac:dyDescent="0.2">
      <c r="A16" t="s">
        <v>150</v>
      </c>
    </row>
    <row r="17" spans="1:1" x14ac:dyDescent="0.2">
      <c r="A17" s="14" t="s">
        <v>154</v>
      </c>
    </row>
    <row r="18" spans="1:1" x14ac:dyDescent="0.2">
      <c r="A18" s="5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389B-2039-4130-BB75-BAAA2FCCEEBC}">
  <dimension ref="A1:E21"/>
  <sheetViews>
    <sheetView workbookViewId="0"/>
  </sheetViews>
  <sheetFormatPr defaultRowHeight="14.25" x14ac:dyDescent="0.2"/>
  <cols>
    <col min="1" max="2" width="35.625" style="5" customWidth="1"/>
    <col min="3" max="3" width="35.625" style="3" customWidth="1"/>
    <col min="4" max="4" width="35.625" style="5" customWidth="1"/>
    <col min="5" max="5" width="35.625" style="6" customWidth="1"/>
  </cols>
  <sheetData>
    <row r="1" spans="1:5" s="1" customFormat="1" x14ac:dyDescent="0.2">
      <c r="A1" s="4" t="s">
        <v>0</v>
      </c>
      <c r="B1" s="4" t="s">
        <v>31</v>
      </c>
      <c r="C1" s="2" t="s">
        <v>32</v>
      </c>
      <c r="D1" s="4" t="s">
        <v>33</v>
      </c>
      <c r="E1" s="7" t="s">
        <v>17</v>
      </c>
    </row>
    <row r="2" spans="1:5" x14ac:dyDescent="0.2">
      <c r="A2" s="8" t="s">
        <v>34</v>
      </c>
      <c r="B2" s="8" t="s">
        <v>34</v>
      </c>
      <c r="C2" s="9" t="s">
        <v>45</v>
      </c>
      <c r="D2" s="8" t="s">
        <v>55</v>
      </c>
      <c r="E2" s="10" t="s">
        <v>38</v>
      </c>
    </row>
    <row r="3" spans="1:5" x14ac:dyDescent="0.2">
      <c r="A3" s="8"/>
      <c r="B3" s="8" t="s">
        <v>39</v>
      </c>
      <c r="C3" s="9" t="s">
        <v>49</v>
      </c>
      <c r="D3" s="8" t="s">
        <v>39</v>
      </c>
      <c r="E3" s="10"/>
    </row>
    <row r="4" spans="1:5" x14ac:dyDescent="0.2">
      <c r="A4" s="8" t="s">
        <v>41</v>
      </c>
      <c r="B4" s="8" t="s">
        <v>41</v>
      </c>
      <c r="C4" s="9" t="s">
        <v>51</v>
      </c>
      <c r="D4" s="8" t="s">
        <v>41</v>
      </c>
      <c r="E4" s="10" t="s">
        <v>42</v>
      </c>
    </row>
    <row r="5" spans="1:5" x14ac:dyDescent="0.2">
      <c r="A5" s="8" t="s">
        <v>43</v>
      </c>
      <c r="B5" s="8" t="s">
        <v>43</v>
      </c>
      <c r="C5" s="9" t="s">
        <v>52</v>
      </c>
      <c r="D5" s="8" t="s">
        <v>43</v>
      </c>
      <c r="E5" s="10" t="s">
        <v>44</v>
      </c>
    </row>
    <row r="7" spans="1:5" x14ac:dyDescent="0.2">
      <c r="A7" s="11" t="s">
        <v>56</v>
      </c>
    </row>
    <row r="8" spans="1:5" x14ac:dyDescent="0.2">
      <c r="A8" s="5" t="s">
        <v>57</v>
      </c>
      <c r="B8" s="5" t="s">
        <v>139</v>
      </c>
      <c r="C8" s="3">
        <v>44287</v>
      </c>
      <c r="D8" s="5" t="s">
        <v>135</v>
      </c>
      <c r="E8" s="6">
        <v>1111.1099999999999</v>
      </c>
    </row>
    <row r="9" spans="1:5" x14ac:dyDescent="0.2">
      <c r="A9" s="5" t="s">
        <v>57</v>
      </c>
      <c r="B9" s="5" t="s">
        <v>140</v>
      </c>
      <c r="C9" s="3">
        <v>44288</v>
      </c>
      <c r="D9" s="5" t="s">
        <v>136</v>
      </c>
      <c r="E9" s="6">
        <f>E8+100</f>
        <v>1211.1099999999999</v>
      </c>
    </row>
    <row r="10" spans="1:5" x14ac:dyDescent="0.2">
      <c r="A10" s="5" t="s">
        <v>72</v>
      </c>
      <c r="B10" s="5" t="s">
        <v>141</v>
      </c>
      <c r="C10" s="3">
        <v>44289</v>
      </c>
      <c r="D10" s="5" t="s">
        <v>137</v>
      </c>
      <c r="E10" s="6">
        <f t="shared" ref="E10:E15" si="0">E9+100</f>
        <v>1311.11</v>
      </c>
    </row>
    <row r="11" spans="1:5" x14ac:dyDescent="0.2">
      <c r="A11" s="5" t="s">
        <v>72</v>
      </c>
      <c r="B11" s="5" t="s">
        <v>142</v>
      </c>
      <c r="C11" s="3">
        <v>44290</v>
      </c>
      <c r="D11" s="5" t="s">
        <v>138</v>
      </c>
      <c r="E11" s="6">
        <f t="shared" si="0"/>
        <v>1411.11</v>
      </c>
    </row>
    <row r="12" spans="1:5" x14ac:dyDescent="0.2">
      <c r="A12" s="5" t="s">
        <v>72</v>
      </c>
      <c r="B12" s="5" t="s">
        <v>143</v>
      </c>
      <c r="C12" s="3">
        <v>44291</v>
      </c>
      <c r="D12" s="5" t="s">
        <v>135</v>
      </c>
      <c r="E12" s="6">
        <f t="shared" si="0"/>
        <v>1511.11</v>
      </c>
    </row>
    <row r="13" spans="1:5" x14ac:dyDescent="0.2">
      <c r="A13" s="5" t="s">
        <v>88</v>
      </c>
      <c r="B13" s="5" t="s">
        <v>144</v>
      </c>
      <c r="C13" s="3">
        <v>44292</v>
      </c>
      <c r="D13" s="5" t="s">
        <v>136</v>
      </c>
      <c r="E13" s="6">
        <f t="shared" si="0"/>
        <v>1611.11</v>
      </c>
    </row>
    <row r="14" spans="1:5" x14ac:dyDescent="0.2">
      <c r="A14" s="5" t="s">
        <v>88</v>
      </c>
      <c r="B14" s="5" t="s">
        <v>145</v>
      </c>
      <c r="C14" s="3">
        <v>44293</v>
      </c>
      <c r="D14" s="5" t="s">
        <v>137</v>
      </c>
      <c r="E14" s="6">
        <f t="shared" si="0"/>
        <v>1711.11</v>
      </c>
    </row>
    <row r="15" spans="1:5" x14ac:dyDescent="0.2">
      <c r="A15" s="5" t="s">
        <v>104</v>
      </c>
      <c r="B15" s="5" t="s">
        <v>146</v>
      </c>
      <c r="C15" s="3">
        <v>44294</v>
      </c>
      <c r="D15" s="5" t="s">
        <v>138</v>
      </c>
      <c r="E15" s="6">
        <f t="shared" si="0"/>
        <v>1811.11</v>
      </c>
    </row>
    <row r="17" spans="1:1" x14ac:dyDescent="0.2">
      <c r="A17" s="13" t="s">
        <v>148</v>
      </c>
    </row>
    <row r="18" spans="1:1" x14ac:dyDescent="0.2">
      <c r="A18" t="s">
        <v>149</v>
      </c>
    </row>
    <row r="19" spans="1:1" x14ac:dyDescent="0.2">
      <c r="A19" t="s">
        <v>150</v>
      </c>
    </row>
    <row r="20" spans="1:1" x14ac:dyDescent="0.2">
      <c r="A20" s="14" t="s">
        <v>156</v>
      </c>
    </row>
    <row r="21" spans="1:1" x14ac:dyDescent="0.2">
      <c r="A21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BSH_SERVER</cp:lastModifiedBy>
  <dcterms:created xsi:type="dcterms:W3CDTF">2021-08-04T01:03:44Z</dcterms:created>
  <dcterms:modified xsi:type="dcterms:W3CDTF">2021-09-07T09:23:42Z</dcterms:modified>
</cp:coreProperties>
</file>